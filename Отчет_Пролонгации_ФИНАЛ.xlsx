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alentin\Downloads\"/>
    </mc:Choice>
  </mc:AlternateContent>
  <xr:revisionPtr revIDLastSave="0" documentId="13_ncr:1_{72808B83-053F-4A9E-99AC-9A040DBE4AE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Выводы" sheetId="4" r:id="rId1"/>
    <sheet name="Весь отдел" sheetId="1" r:id="rId2"/>
    <sheet name="Менеджеры за год" sheetId="2" r:id="rId3"/>
    <sheet name="Менеджеры по месяцам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2" l="1"/>
  <c r="D11" i="2"/>
  <c r="G10" i="2"/>
  <c r="D10" i="2"/>
  <c r="G9" i="2"/>
  <c r="D9" i="2"/>
  <c r="G8" i="2"/>
  <c r="D8" i="2"/>
  <c r="G7" i="2"/>
  <c r="D7" i="2"/>
  <c r="G6" i="2"/>
  <c r="D6" i="2"/>
  <c r="G5" i="2"/>
  <c r="D5" i="2"/>
  <c r="G4" i="2"/>
  <c r="D4" i="2"/>
  <c r="G3" i="2"/>
  <c r="D3" i="2"/>
  <c r="G14" i="1"/>
  <c r="D14" i="1"/>
  <c r="G13" i="1"/>
  <c r="D13" i="1"/>
  <c r="G12" i="1"/>
  <c r="D12" i="1"/>
  <c r="G11" i="1"/>
  <c r="D11" i="1"/>
  <c r="G10" i="1"/>
  <c r="D10" i="1"/>
  <c r="G9" i="1"/>
  <c r="D9" i="1"/>
  <c r="G8" i="1"/>
  <c r="D8" i="1"/>
  <c r="G7" i="1"/>
  <c r="D7" i="1"/>
  <c r="G6" i="1"/>
  <c r="D6" i="1"/>
  <c r="G5" i="1"/>
  <c r="D5" i="1"/>
  <c r="G4" i="1"/>
  <c r="D4" i="1"/>
  <c r="G3" i="1"/>
  <c r="D3" i="1"/>
</calcChain>
</file>

<file path=xl/sharedStrings.xml><?xml version="1.0" encoding="utf-8"?>
<sst xmlns="http://schemas.openxmlformats.org/spreadsheetml/2006/main" count="88" uniqueCount="31">
  <si>
    <t>Месяц</t>
  </si>
  <si>
    <t>Пролонгации в первый месяц</t>
  </si>
  <si>
    <t>Пролонгации через месяц</t>
  </si>
  <si>
    <t>к пролонгации</t>
  </si>
  <si>
    <t>пролонгировано</t>
  </si>
  <si>
    <t>Коэффициент</t>
  </si>
  <si>
    <t>01.2023</t>
  </si>
  <si>
    <t>02.2023</t>
  </si>
  <si>
    <t>03.2023</t>
  </si>
  <si>
    <t>04.2023</t>
  </si>
  <si>
    <t>05.2023</t>
  </si>
  <si>
    <t>06.2023</t>
  </si>
  <si>
    <t>07.2023</t>
  </si>
  <si>
    <t>08.2023</t>
  </si>
  <si>
    <t>09.2023</t>
  </si>
  <si>
    <t>10.2023</t>
  </si>
  <si>
    <t>11.2023</t>
  </si>
  <si>
    <t>12.2023</t>
  </si>
  <si>
    <t>Менеджер</t>
  </si>
  <si>
    <t>Васильев Артем Александрович</t>
  </si>
  <si>
    <t>Иванова Мария Сергеевна</t>
  </si>
  <si>
    <t>Кузнецов Михаил Иванович</t>
  </si>
  <si>
    <t>Михайлов Андрей Сергеевич</t>
  </si>
  <si>
    <t>Петрова Анна Дмитриевна</t>
  </si>
  <si>
    <t>Попова Екатерина Николаевна</t>
  </si>
  <si>
    <t>Смирнова Ольга Владимировна</t>
  </si>
  <si>
    <t>Соколова Анастасия Викторовна</t>
  </si>
  <si>
    <t>без А/М</t>
  </si>
  <si>
    <t>Коэффициент 1</t>
  </si>
  <si>
    <t>Коэффициент 2</t>
  </si>
  <si>
    <t>ОТКРОЙ ДАШБОРД В DATALENS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</si>
</sst>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theme="1" tint="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0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0" fillId="0" borderId="1" xfId="0" applyBorder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/>
    <xf numFmtId="0" fontId="5" fillId="0" borderId="0" xfId="0" applyFont="1"/>
    <xf numFmtId="0" fontId="0" fillId="0" borderId="0" xfId="0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7" fillId="4" borderId="0" xfId="1" applyFont="1" applyFill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7620</xdr:rowOff>
    </xdr:from>
    <xdr:to>
      <xdr:col>10</xdr:col>
      <xdr:colOff>16762</xdr:colOff>
      <xdr:row>26</xdr:row>
      <xdr:rowOff>137160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A6CACF73-3B2A-8A1C-5044-390DC9286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6220"/>
          <a:ext cx="7964422" cy="4701540"/>
        </a:xfrm>
        <a:prstGeom prst="rect">
          <a:avLst/>
        </a:prstGeom>
      </xdr:spPr>
    </xdr:pic>
    <xdr:clientData/>
  </xdr:twoCellAnchor>
  <xdr:twoCellAnchor>
    <xdr:from>
      <xdr:col>10</xdr:col>
      <xdr:colOff>106680</xdr:colOff>
      <xdr:row>1</xdr:row>
      <xdr:rowOff>121920</xdr:rowOff>
    </xdr:from>
    <xdr:to>
      <xdr:col>20</xdr:col>
      <xdr:colOff>45720</xdr:colOff>
      <xdr:row>28</xdr:row>
      <xdr:rowOff>53340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6589EBD-F89F-9DC6-C678-3AF10FA0BE2B}"/>
            </a:ext>
          </a:extLst>
        </xdr:cNvPr>
        <xdr:cNvSpPr txBox="1"/>
      </xdr:nvSpPr>
      <xdr:spPr>
        <a:xfrm>
          <a:off x="8054340" y="350520"/>
          <a:ext cx="6035040" cy="4869180"/>
        </a:xfrm>
        <a:prstGeom prst="rect">
          <a:avLst/>
        </a:prstGeom>
        <a:solidFill>
          <a:schemeClr val="lt1"/>
        </a:solidFill>
        <a:ln w="9525" cmpd="sng">
          <a:noFill/>
        </a:ln>
        <a:scene3d>
          <a:camera prst="orthographicFront"/>
          <a:lightRig rig="threePt" dir="t"/>
        </a:scene3d>
        <a:sp3d contourW="12700">
          <a:contourClr>
            <a:schemeClr val="bg1"/>
          </a:contourClr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72000" bIns="252000" rtlCol="0" anchor="t"/>
        <a:lstStyle/>
        <a:p>
          <a:pPr algn="l"/>
          <a:r>
            <a:rPr lang="ru-RU" sz="1100" b="1" kern="100" spc="0" baseline="0"/>
            <a:t>1. Общая эффективность удержания (76%)</a:t>
          </a:r>
          <a:r>
            <a:rPr lang="ru-RU" sz="1100" kern="100" spc="0" baseline="0"/>
            <a:t> Отдел сопровождения показывает уверенный результат, сохраняя б</a:t>
          </a:r>
          <a:r>
            <a:rPr lang="ru-RU" sz="1100" i="1" kern="100" spc="0" baseline="0"/>
            <a:t>о</a:t>
          </a:r>
          <a:r>
            <a:rPr lang="ru-RU" sz="1100" kern="100" spc="0" baseline="0"/>
            <a:t>льшую часть клиентской базы и стабильно генерируя выручку.</a:t>
          </a:r>
        </a:p>
        <a:p>
          <a:pPr algn="l"/>
          <a:endParaRPr lang="ru-RU" sz="1100" kern="100" spc="0" baseline="0"/>
        </a:p>
        <a:p>
          <a:pPr algn="l"/>
          <a:r>
            <a:rPr lang="ru-RU" sz="1100" b="1" kern="100" spc="0" baseline="0"/>
            <a:t>2. Смещение оплат (Проблема кассового разрыва)</a:t>
          </a:r>
          <a:r>
            <a:rPr lang="ru-RU" sz="1100" kern="100" spc="0" baseline="0"/>
            <a:t> Наблюдается сильный перекос закрытия сделок на 2-й месяц. В первый месяц менеджеры продлевают лишь около 54% базы. Во второй месяц идет сверхактивный «дожим» оставшихся (коэффициент &gt;100% достигается за счет возврата зависших долгов и продажи дополнительных услуг/апсейла).</a:t>
          </a:r>
        </a:p>
        <a:p>
          <a:pPr algn="l"/>
          <a:endParaRPr lang="ru-RU" sz="1100" i="1" kern="100" spc="0" baseline="0"/>
        </a:p>
        <a:p>
          <a:pPr lvl="0" algn="l"/>
          <a:r>
            <a:rPr lang="ru-RU" sz="1100" i="1" kern="100" spc="0" baseline="0"/>
            <a:t>Рекомендация бизнесу:</a:t>
          </a:r>
          <a:r>
            <a:rPr lang="ru-RU" sz="1100" kern="100" spc="0" baseline="0"/>
            <a:t> Компании невыгодно откладывание оплат. Стоит пересмотреть систему мотивации (</a:t>
          </a:r>
          <a:r>
            <a:rPr lang="en-US" sz="1100" kern="100" spc="0" baseline="0"/>
            <a:t>KPI) — </a:t>
          </a:r>
          <a:r>
            <a:rPr lang="ru-RU" sz="1100" kern="100" spc="0" baseline="0"/>
            <a:t>например, ввести повышающий коэффициент для бонуса менеджера при получении оплаты от клиента строго в первый месяц.</a:t>
          </a:r>
        </a:p>
        <a:p>
          <a:pPr algn="l"/>
          <a:endParaRPr lang="ru-RU" sz="1100" kern="100" spc="0" baseline="0"/>
        </a:p>
        <a:p>
          <a:pPr algn="l"/>
          <a:r>
            <a:rPr lang="ru-RU" sz="1100" b="1" kern="100" spc="0" baseline="0"/>
            <a:t>3. Лидеры отдела</a:t>
          </a:r>
          <a:r>
            <a:rPr lang="ru-RU" sz="1100" kern="100" spc="0" baseline="0"/>
            <a:t> Абсолютные лидеры по суммарному объему удержания — </a:t>
          </a:r>
          <a:r>
            <a:rPr lang="ru-RU" sz="1100" b="1" kern="100" spc="0" baseline="0"/>
            <a:t>Смирнова О.В.</a:t>
          </a:r>
          <a:r>
            <a:rPr lang="ru-RU" sz="1100" kern="100" spc="0" baseline="0"/>
            <a:t> и </a:t>
          </a:r>
          <a:r>
            <a:rPr lang="ru-RU" sz="1100" b="1" kern="100" spc="0" baseline="0"/>
            <a:t>Михайлов А.С.</a:t>
          </a:r>
          <a:r>
            <a:rPr lang="ru-RU" sz="1100" kern="100" spc="0" baseline="0"/>
            <a:t> (они эффективнее всех дожимают сложные сделки). Также в топ-3 уверенно входит Кузнецов М.И.</a:t>
          </a:r>
        </a:p>
        <a:p>
          <a:pPr algn="l"/>
          <a:endParaRPr lang="ru-RU" sz="1100" kern="100" spc="0" baseline="0"/>
        </a:p>
        <a:p>
          <a:pPr algn="l"/>
          <a:r>
            <a:rPr lang="ru-RU" sz="1100" b="1" kern="100" spc="0" baseline="0"/>
            <a:t>4. Масштабирование лучших практик</a:t>
          </a:r>
          <a:endParaRPr lang="ru-RU" sz="1100" kern="100" spc="0" baseline="0"/>
        </a:p>
        <a:p>
          <a:pPr algn="l"/>
          <a:endParaRPr lang="ru-RU" sz="1100" i="1" kern="100" spc="0" baseline="0"/>
        </a:p>
        <a:p>
          <a:pPr algn="l"/>
          <a:r>
            <a:rPr lang="ru-RU" sz="1100" i="1" kern="100" spc="0" baseline="0"/>
            <a:t>Рекомендация бизнесу:</a:t>
          </a:r>
          <a:r>
            <a:rPr lang="ru-RU" sz="1100" kern="100" spc="0" baseline="0"/>
            <a:t> Провести аудит телефонных звонков лидеров (Смирновой О.В. и Михайлова А.С.). Необходимо вычленить их успешные паттерны работы с возражениями и на их основе обновить базовый скрипт пролонгации для обучения отстающих сотрудников.</a:t>
          </a:r>
        </a:p>
        <a:p>
          <a:pPr algn="l"/>
          <a:endParaRPr lang="ru-RU" sz="1100" kern="100" spc="0" baseline="0"/>
        </a:p>
        <a:p>
          <a:pPr algn="l"/>
          <a:r>
            <a:rPr lang="ru-RU" sz="1100" b="1" kern="100" spc="0" baseline="0"/>
            <a:t>5. Слепые зоны учета</a:t>
          </a:r>
          <a:r>
            <a:rPr lang="ru-RU" sz="1100" kern="100" spc="0" baseline="0"/>
            <a:t> В данных выявлена категория оплат «Без А/М» (без привязки к конкретному аккаунт-менеджеру).</a:t>
          </a:r>
        </a:p>
        <a:p>
          <a:pPr algn="l"/>
          <a:endParaRPr lang="ru-RU" sz="1100" i="1" kern="100" spc="0" baseline="0"/>
        </a:p>
        <a:p>
          <a:pPr algn="l"/>
          <a:r>
            <a:rPr lang="ru-RU" sz="1100" i="1" kern="100" spc="0" baseline="0"/>
            <a:t>Рекомендация бизнесу:</a:t>
          </a:r>
          <a:r>
            <a:rPr lang="ru-RU" sz="1100" kern="100" spc="0" baseline="0"/>
            <a:t> Провести проверку настроек </a:t>
          </a:r>
          <a:r>
            <a:rPr lang="en-US" sz="1100" kern="100" spc="0" baseline="0"/>
            <a:t>CRM-</a:t>
          </a:r>
          <a:r>
            <a:rPr lang="ru-RU" sz="1100" kern="100" spc="0" baseline="0"/>
            <a:t>системы, чтобы устранить системную потерю связок «клиент-менеджер» и корректно распределять выручку.</a:t>
          </a:r>
        </a:p>
        <a:p>
          <a:pPr algn="l"/>
          <a:endParaRPr lang="ru-RU" sz="1100"/>
        </a:p>
      </xdr:txBody>
    </xdr:sp>
    <xdr:clientData/>
  </xdr:twoCellAnchor>
  <xdr:twoCellAnchor>
    <xdr:from>
      <xdr:col>11</xdr:col>
      <xdr:colOff>213360</xdr:colOff>
      <xdr:row>0</xdr:row>
      <xdr:rowOff>38100</xdr:rowOff>
    </xdr:from>
    <xdr:to>
      <xdr:col>18</xdr:col>
      <xdr:colOff>335280</xdr:colOff>
      <xdr:row>1</xdr:row>
      <xdr:rowOff>68580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15AE1F5-5E91-7448-2B66-443D8F093B8A}"/>
            </a:ext>
          </a:extLst>
        </xdr:cNvPr>
        <xdr:cNvSpPr txBox="1"/>
      </xdr:nvSpPr>
      <xdr:spPr>
        <a:xfrm>
          <a:off x="8770620" y="38100"/>
          <a:ext cx="4389120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5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Главные инсайты по пролонгациям (2023 год):</a:t>
          </a:r>
          <a:endParaRPr lang="ru-RU" sz="1500">
            <a:effectLst/>
          </a:endParaRPr>
        </a:p>
        <a:p>
          <a:endParaRPr lang="ru-RU" sz="15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talens.ru/hse6dh28j94m1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222CE-620B-4A66-8503-4B6EB02241CD}">
  <sheetPr>
    <pageSetUpPr autoPageBreaks="0"/>
  </sheetPr>
  <dimension ref="A1:L18"/>
  <sheetViews>
    <sheetView showGridLines="0" tabSelected="1" showWhiteSpace="0" zoomScaleNormal="100" workbookViewId="0">
      <selection activeCell="O31" sqref="O31"/>
    </sheetView>
  </sheetViews>
  <sheetFormatPr defaultRowHeight="14.4" x14ac:dyDescent="0.3"/>
  <cols>
    <col min="1" max="1" width="35.88671875" bestFit="1" customWidth="1"/>
  </cols>
  <sheetData>
    <row r="1" spans="1:12" ht="18" x14ac:dyDescent="0.35">
      <c r="A1" s="14" t="s">
        <v>30</v>
      </c>
      <c r="B1" s="14"/>
      <c r="C1" s="14"/>
      <c r="D1" s="14"/>
      <c r="E1" s="14"/>
      <c r="F1" s="14"/>
      <c r="G1" s="14"/>
      <c r="H1" s="14"/>
      <c r="I1" s="14"/>
      <c r="J1" s="14"/>
    </row>
    <row r="2" spans="1:12" x14ac:dyDescent="0.3">
      <c r="L2" s="11"/>
    </row>
    <row r="4" spans="1:12" x14ac:dyDescent="0.3">
      <c r="L4" s="11"/>
    </row>
    <row r="6" spans="1:12" x14ac:dyDescent="0.3">
      <c r="L6" s="11"/>
    </row>
    <row r="7" spans="1:12" x14ac:dyDescent="0.3">
      <c r="L7" s="12"/>
    </row>
    <row r="8" spans="1:12" x14ac:dyDescent="0.3">
      <c r="L8" s="13"/>
    </row>
    <row r="10" spans="1:12" x14ac:dyDescent="0.3">
      <c r="L10" s="11"/>
    </row>
    <row r="12" spans="1:12" x14ac:dyDescent="0.3">
      <c r="L12" s="11"/>
    </row>
    <row r="13" spans="1:12" x14ac:dyDescent="0.3">
      <c r="L13" s="12"/>
    </row>
    <row r="14" spans="1:12" x14ac:dyDescent="0.3">
      <c r="L14" s="13"/>
    </row>
    <row r="16" spans="1:12" x14ac:dyDescent="0.3">
      <c r="L16" s="11"/>
    </row>
    <row r="17" spans="12:12" x14ac:dyDescent="0.3">
      <c r="L17" s="12"/>
    </row>
    <row r="18" spans="12:12" x14ac:dyDescent="0.3">
      <c r="L18" s="13"/>
    </row>
  </sheetData>
  <mergeCells count="1">
    <mergeCell ref="A1:J1"/>
  </mergeCells>
  <hyperlinks>
    <hyperlink ref="A1" r:id="rId1" xr:uid="{765F897E-6BE3-435A-9C73-EE26EDD333AA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workbookViewId="0">
      <selection activeCell="C3" sqref="C3"/>
    </sheetView>
  </sheetViews>
  <sheetFormatPr defaultRowHeight="14.4" x14ac:dyDescent="0.3"/>
  <cols>
    <col min="1" max="1" width="30" customWidth="1"/>
    <col min="2" max="7" width="18" customWidth="1"/>
  </cols>
  <sheetData>
    <row r="1" spans="1:7" x14ac:dyDescent="0.3">
      <c r="A1" s="4" t="s">
        <v>0</v>
      </c>
      <c r="B1" s="4" t="s">
        <v>1</v>
      </c>
      <c r="C1" s="4"/>
      <c r="D1" s="4"/>
      <c r="E1" s="4" t="s">
        <v>2</v>
      </c>
      <c r="F1" s="4"/>
      <c r="G1" s="4"/>
    </row>
    <row r="2" spans="1:7" x14ac:dyDescent="0.3">
      <c r="A2" s="5"/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x14ac:dyDescent="0.3">
      <c r="A3" s="2" t="s">
        <v>6</v>
      </c>
      <c r="B3" s="2">
        <v>5986766.8600000003</v>
      </c>
      <c r="C3" s="2">
        <v>2677021.61</v>
      </c>
      <c r="D3" s="3">
        <f t="shared" ref="D3:D14" si="0">IF(B3=0,0,C3/B3)</f>
        <v>0.44715648238889327</v>
      </c>
      <c r="E3" s="2">
        <v>2890042.76</v>
      </c>
      <c r="F3" s="2">
        <v>2918700.03</v>
      </c>
      <c r="G3" s="3">
        <f t="shared" ref="G3:G14" si="1">IF(E3=0,0,F3/E3)</f>
        <v>1.0099158636670138</v>
      </c>
    </row>
    <row r="4" spans="1:7" x14ac:dyDescent="0.3">
      <c r="A4" s="2" t="s">
        <v>7</v>
      </c>
      <c r="B4" s="2">
        <v>2549075.5</v>
      </c>
      <c r="C4" s="2">
        <v>1880945</v>
      </c>
      <c r="D4" s="3">
        <f t="shared" si="0"/>
        <v>0.73789301258436635</v>
      </c>
      <c r="E4" s="2">
        <v>760840.5</v>
      </c>
      <c r="F4" s="2">
        <v>1402050.08</v>
      </c>
      <c r="G4" s="3">
        <f t="shared" si="1"/>
        <v>1.8427647844719097</v>
      </c>
    </row>
    <row r="5" spans="1:7" x14ac:dyDescent="0.3">
      <c r="A5" s="2" t="s">
        <v>8</v>
      </c>
      <c r="B5" s="2">
        <v>1899332.77</v>
      </c>
      <c r="C5" s="2">
        <v>1271739.3999999999</v>
      </c>
      <c r="D5" s="3">
        <f t="shared" si="0"/>
        <v>0.66957166226326936</v>
      </c>
      <c r="E5" s="2">
        <v>627735</v>
      </c>
      <c r="F5" s="2">
        <v>1371699</v>
      </c>
      <c r="G5" s="3">
        <f t="shared" si="1"/>
        <v>2.1851561566584627</v>
      </c>
    </row>
    <row r="6" spans="1:7" x14ac:dyDescent="0.3">
      <c r="A6" s="2" t="s">
        <v>9</v>
      </c>
      <c r="B6" s="2">
        <v>2982484.3</v>
      </c>
      <c r="C6" s="2">
        <v>1501923.35</v>
      </c>
      <c r="D6" s="3">
        <f t="shared" si="0"/>
        <v>0.50358130971552817</v>
      </c>
      <c r="E6" s="2">
        <v>1401445.9</v>
      </c>
      <c r="F6" s="2">
        <v>1432861.44</v>
      </c>
      <c r="G6" s="3">
        <f t="shared" si="1"/>
        <v>1.0224165199669855</v>
      </c>
    </row>
    <row r="7" spans="1:7" x14ac:dyDescent="0.3">
      <c r="A7" s="2" t="s">
        <v>10</v>
      </c>
      <c r="B7" s="2">
        <v>3414631.5</v>
      </c>
      <c r="C7" s="2">
        <v>1981261.75</v>
      </c>
      <c r="D7" s="3">
        <f t="shared" si="0"/>
        <v>0.58022710503314923</v>
      </c>
      <c r="E7" s="2">
        <v>1015068.5</v>
      </c>
      <c r="F7" s="2">
        <v>2051734</v>
      </c>
      <c r="G7" s="3">
        <f t="shared" si="1"/>
        <v>2.021276396617568</v>
      </c>
    </row>
    <row r="8" spans="1:7" x14ac:dyDescent="0.3">
      <c r="A8" s="2" t="s">
        <v>11</v>
      </c>
      <c r="B8" s="2">
        <v>1274625.53</v>
      </c>
      <c r="C8" s="2">
        <v>333068.28000000003</v>
      </c>
      <c r="D8" s="3">
        <f t="shared" si="0"/>
        <v>0.26130676984008006</v>
      </c>
      <c r="E8" s="2">
        <v>1020325.53</v>
      </c>
      <c r="F8" s="2">
        <v>453720</v>
      </c>
      <c r="G8" s="3">
        <f t="shared" si="1"/>
        <v>0.44468161058363403</v>
      </c>
    </row>
    <row r="9" spans="1:7" x14ac:dyDescent="0.3">
      <c r="A9" s="2" t="s">
        <v>12</v>
      </c>
      <c r="B9" s="2">
        <v>2625982.85</v>
      </c>
      <c r="C9" s="2">
        <v>1390411</v>
      </c>
      <c r="D9" s="3">
        <f t="shared" si="0"/>
        <v>0.52948213275650291</v>
      </c>
      <c r="E9" s="2">
        <v>1452499.85</v>
      </c>
      <c r="F9" s="2">
        <v>1284055.32</v>
      </c>
      <c r="G9" s="3">
        <f t="shared" si="1"/>
        <v>0.88403129267104574</v>
      </c>
    </row>
    <row r="10" spans="1:7" x14ac:dyDescent="0.3">
      <c r="A10" s="2" t="s">
        <v>13</v>
      </c>
      <c r="B10" s="2">
        <v>1936915.83</v>
      </c>
      <c r="C10" s="2">
        <v>943678.88</v>
      </c>
      <c r="D10" s="3">
        <f t="shared" si="0"/>
        <v>0.48720696345385334</v>
      </c>
      <c r="E10" s="2">
        <v>755739.63</v>
      </c>
      <c r="F10" s="2">
        <v>719556.25</v>
      </c>
      <c r="G10" s="3">
        <f t="shared" si="1"/>
        <v>0.95212189679665205</v>
      </c>
    </row>
    <row r="11" spans="1:7" x14ac:dyDescent="0.3">
      <c r="A11" s="2" t="s">
        <v>14</v>
      </c>
      <c r="B11" s="2">
        <v>3241978.5</v>
      </c>
      <c r="C11" s="2">
        <v>1086504.42</v>
      </c>
      <c r="D11" s="3">
        <f t="shared" si="0"/>
        <v>0.33513622005821442</v>
      </c>
      <c r="E11" s="2">
        <v>2183145.12</v>
      </c>
      <c r="F11" s="2">
        <v>1128189.96</v>
      </c>
      <c r="G11" s="3">
        <f t="shared" si="1"/>
        <v>0.51677277413422695</v>
      </c>
    </row>
    <row r="12" spans="1:7" x14ac:dyDescent="0.3">
      <c r="A12" s="2" t="s">
        <v>15</v>
      </c>
      <c r="B12" s="2">
        <v>3686850.81</v>
      </c>
      <c r="C12" s="2">
        <v>3014655.19</v>
      </c>
      <c r="D12" s="3">
        <f t="shared" si="0"/>
        <v>0.81767756422994509</v>
      </c>
      <c r="E12" s="2">
        <v>1130392.68</v>
      </c>
      <c r="F12" s="2">
        <v>2924688.02</v>
      </c>
      <c r="G12" s="3">
        <f t="shared" si="1"/>
        <v>2.5873203814447914</v>
      </c>
    </row>
    <row r="13" spans="1:7" x14ac:dyDescent="0.3">
      <c r="A13" s="2" t="s">
        <v>16</v>
      </c>
      <c r="B13" s="2">
        <v>1567139.97</v>
      </c>
      <c r="C13" s="2">
        <v>811594</v>
      </c>
      <c r="D13" s="3">
        <f t="shared" si="0"/>
        <v>0.51788226676395732</v>
      </c>
      <c r="E13" s="2">
        <v>735957.5</v>
      </c>
      <c r="F13" s="2">
        <v>915257.69</v>
      </c>
      <c r="G13" s="3">
        <f t="shared" si="1"/>
        <v>1.2436284568062692</v>
      </c>
    </row>
    <row r="14" spans="1:7" x14ac:dyDescent="0.3">
      <c r="A14" s="2" t="s">
        <v>17</v>
      </c>
      <c r="B14" s="2">
        <v>2434794.91</v>
      </c>
      <c r="C14" s="2">
        <v>1325978.1599999999</v>
      </c>
      <c r="D14" s="3">
        <f t="shared" si="0"/>
        <v>0.54459542138602546</v>
      </c>
      <c r="E14" s="2">
        <v>861947.06</v>
      </c>
      <c r="F14" s="2">
        <v>1134059.54</v>
      </c>
      <c r="G14" s="3">
        <f t="shared" si="1"/>
        <v>1.3156951193731086</v>
      </c>
    </row>
  </sheetData>
  <mergeCells count="3">
    <mergeCell ref="B1:D1"/>
    <mergeCell ref="E1:G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>
      <selection activeCell="G6" sqref="G6"/>
    </sheetView>
  </sheetViews>
  <sheetFormatPr defaultRowHeight="14.4" x14ac:dyDescent="0.3"/>
  <cols>
    <col min="1" max="1" width="30" customWidth="1"/>
    <col min="2" max="7" width="18" customWidth="1"/>
  </cols>
  <sheetData>
    <row r="1" spans="1:7" x14ac:dyDescent="0.3">
      <c r="A1" s="4" t="s">
        <v>18</v>
      </c>
      <c r="B1" s="4" t="s">
        <v>1</v>
      </c>
      <c r="C1" s="4"/>
      <c r="D1" s="4"/>
      <c r="E1" s="4" t="s">
        <v>2</v>
      </c>
      <c r="F1" s="4"/>
      <c r="G1" s="4"/>
    </row>
    <row r="2" spans="1:7" x14ac:dyDescent="0.3">
      <c r="A2" s="5"/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x14ac:dyDescent="0.3">
      <c r="A3" s="2" t="s">
        <v>19</v>
      </c>
      <c r="B3" s="2">
        <v>11133084.890000001</v>
      </c>
      <c r="C3" s="2">
        <v>5906765.4299999997</v>
      </c>
      <c r="D3" s="3">
        <f t="shared" ref="D3:D11" si="0">IF(B3=0,0,C3/B3)</f>
        <v>0.53055963269494111</v>
      </c>
      <c r="E3" s="2">
        <v>5271445.5</v>
      </c>
      <c r="F3" s="2">
        <v>6380234.8499999996</v>
      </c>
      <c r="G3" s="3">
        <f t="shared" ref="G3:G11" si="1">IF(E3=0,0,F3/E3)</f>
        <v>1.2103387676112747</v>
      </c>
    </row>
    <row r="4" spans="1:7" x14ac:dyDescent="0.3">
      <c r="A4" s="2" t="s">
        <v>20</v>
      </c>
      <c r="B4" s="2">
        <v>4727657.16</v>
      </c>
      <c r="C4" s="2">
        <v>1660095.55</v>
      </c>
      <c r="D4" s="3">
        <f t="shared" si="0"/>
        <v>0.35114550269123151</v>
      </c>
      <c r="E4" s="2">
        <v>2451624.75</v>
      </c>
      <c r="F4" s="2">
        <v>1508086.25</v>
      </c>
      <c r="G4" s="3">
        <f t="shared" si="1"/>
        <v>0.61513747158899423</v>
      </c>
    </row>
    <row r="5" spans="1:7" x14ac:dyDescent="0.3">
      <c r="A5" s="2" t="s">
        <v>21</v>
      </c>
      <c r="B5" s="2">
        <v>982724.44</v>
      </c>
      <c r="C5" s="2">
        <v>470182.98</v>
      </c>
      <c r="D5" s="3">
        <f t="shared" si="0"/>
        <v>0.47844844481531362</v>
      </c>
      <c r="E5" s="2">
        <v>527571.06000000006</v>
      </c>
      <c r="F5" s="2">
        <v>524204.13</v>
      </c>
      <c r="G5" s="3">
        <f t="shared" si="1"/>
        <v>0.99361805403048442</v>
      </c>
    </row>
    <row r="6" spans="1:7" x14ac:dyDescent="0.3">
      <c r="A6" s="2" t="s">
        <v>22</v>
      </c>
      <c r="B6" s="2">
        <v>3361833.59</v>
      </c>
      <c r="C6" s="2">
        <v>2235422.29</v>
      </c>
      <c r="D6" s="3">
        <f t="shared" si="0"/>
        <v>0.66494138694116622</v>
      </c>
      <c r="E6" s="2">
        <v>1065619.68</v>
      </c>
      <c r="F6" s="2">
        <v>1407309.98</v>
      </c>
      <c r="G6" s="3">
        <f t="shared" si="1"/>
        <v>1.3206493896584193</v>
      </c>
    </row>
    <row r="7" spans="1:7" x14ac:dyDescent="0.3">
      <c r="A7" s="2" t="s">
        <v>23</v>
      </c>
      <c r="B7" s="2">
        <v>98492</v>
      </c>
      <c r="C7" s="2">
        <v>109442.52</v>
      </c>
      <c r="D7" s="3">
        <f t="shared" si="0"/>
        <v>1.1111818218738578</v>
      </c>
      <c r="E7" s="2">
        <v>0</v>
      </c>
      <c r="F7" s="2">
        <v>0</v>
      </c>
      <c r="G7" s="3">
        <f t="shared" si="1"/>
        <v>0</v>
      </c>
    </row>
    <row r="8" spans="1:7" x14ac:dyDescent="0.3">
      <c r="A8" s="2" t="s">
        <v>24</v>
      </c>
      <c r="B8" s="2">
        <v>3546868.08</v>
      </c>
      <c r="C8" s="2">
        <v>1737645.8</v>
      </c>
      <c r="D8" s="3">
        <f t="shared" si="0"/>
        <v>0.48990990383831812</v>
      </c>
      <c r="E8" s="2">
        <v>1713325.26</v>
      </c>
      <c r="F8" s="2">
        <v>2172622.77</v>
      </c>
      <c r="G8" s="3">
        <f t="shared" si="1"/>
        <v>1.268073739833848</v>
      </c>
    </row>
    <row r="9" spans="1:7" x14ac:dyDescent="0.3">
      <c r="A9" s="2" t="s">
        <v>25</v>
      </c>
      <c r="B9" s="2">
        <v>2951204.59</v>
      </c>
      <c r="C9" s="2">
        <v>2124958.5</v>
      </c>
      <c r="D9" s="3">
        <f t="shared" si="0"/>
        <v>0.7200309010091368</v>
      </c>
      <c r="E9" s="2">
        <v>997916.8</v>
      </c>
      <c r="F9" s="2">
        <v>2236387.35</v>
      </c>
      <c r="G9" s="3">
        <f t="shared" si="1"/>
        <v>2.2410559176877269</v>
      </c>
    </row>
    <row r="10" spans="1:7" x14ac:dyDescent="0.3">
      <c r="A10" s="2" t="s">
        <v>26</v>
      </c>
      <c r="B10" s="2">
        <v>6798714.5800000001</v>
      </c>
      <c r="C10" s="2">
        <v>3974267.97</v>
      </c>
      <c r="D10" s="3">
        <f t="shared" si="0"/>
        <v>0.58456167312733409</v>
      </c>
      <c r="E10" s="2">
        <v>2807636.98</v>
      </c>
      <c r="F10" s="2">
        <v>3507726</v>
      </c>
      <c r="G10" s="3">
        <f t="shared" si="1"/>
        <v>1.2493516879094533</v>
      </c>
    </row>
    <row r="11" spans="1:7" x14ac:dyDescent="0.3">
      <c r="A11" s="2" t="s">
        <v>27</v>
      </c>
      <c r="B11" s="2">
        <v>0</v>
      </c>
      <c r="C11" s="2">
        <v>0</v>
      </c>
      <c r="D11" s="3">
        <f t="shared" si="0"/>
        <v>0</v>
      </c>
      <c r="E11" s="2">
        <v>0</v>
      </c>
      <c r="F11" s="2">
        <v>0</v>
      </c>
      <c r="G11" s="3">
        <f t="shared" si="1"/>
        <v>0</v>
      </c>
    </row>
  </sheetData>
  <mergeCells count="3">
    <mergeCell ref="B1:D1"/>
    <mergeCell ref="E1:G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5"/>
  <sheetViews>
    <sheetView workbookViewId="0">
      <selection activeCell="M9" sqref="M9"/>
    </sheetView>
  </sheetViews>
  <sheetFormatPr defaultRowHeight="14.4" x14ac:dyDescent="0.3"/>
  <cols>
    <col min="1" max="2" width="15" customWidth="1"/>
    <col min="3" max="14" width="12" customWidth="1"/>
  </cols>
  <sheetData>
    <row r="1" spans="1:14" x14ac:dyDescent="0.3">
      <c r="A1" s="10" t="s">
        <v>28</v>
      </c>
      <c r="B1" s="6"/>
      <c r="C1" s="9" t="s">
        <v>0</v>
      </c>
      <c r="D1" s="7"/>
      <c r="E1" s="7"/>
      <c r="F1" s="7"/>
      <c r="G1" s="7"/>
      <c r="H1" s="7"/>
      <c r="I1" s="7"/>
      <c r="J1" s="7"/>
      <c r="K1" s="7"/>
      <c r="L1" s="7"/>
      <c r="M1" s="7"/>
      <c r="N1" s="8"/>
    </row>
    <row r="2" spans="1:14" x14ac:dyDescent="0.3">
      <c r="A2" s="4" t="s">
        <v>18</v>
      </c>
      <c r="B2" s="6"/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spans="1:14" x14ac:dyDescent="0.3">
      <c r="A3" s="6" t="s">
        <v>19</v>
      </c>
      <c r="B3" s="6"/>
      <c r="C3" s="3">
        <v>0.55623583395377396</v>
      </c>
      <c r="D3" s="3">
        <v>1.155760521008959</v>
      </c>
      <c r="E3" s="3">
        <v>0.62724960745558334</v>
      </c>
      <c r="F3" s="3">
        <v>0.46638866299691212</v>
      </c>
      <c r="G3" s="3">
        <v>0.44922279298661538</v>
      </c>
      <c r="H3" s="3">
        <v>0.38928703566102812</v>
      </c>
      <c r="I3" s="3">
        <v>0.58501567021278034</v>
      </c>
      <c r="J3" s="3">
        <v>0.47750385208012319</v>
      </c>
      <c r="K3" s="3">
        <v>0.172432592799243</v>
      </c>
      <c r="L3" s="3">
        <v>0.88675037994867578</v>
      </c>
      <c r="M3" s="3">
        <v>0.6210006947226171</v>
      </c>
      <c r="N3" s="3">
        <v>0.32406316285646952</v>
      </c>
    </row>
    <row r="4" spans="1:14" x14ac:dyDescent="0.3">
      <c r="A4" s="6" t="s">
        <v>20</v>
      </c>
      <c r="B4" s="6"/>
      <c r="C4" s="3">
        <v>0.27006578358539218</v>
      </c>
      <c r="D4" s="3">
        <v>0</v>
      </c>
      <c r="E4" s="3">
        <v>0.44607445551884251</v>
      </c>
      <c r="F4" s="3">
        <v>0.27768283354547513</v>
      </c>
      <c r="G4" s="3">
        <v>1</v>
      </c>
      <c r="H4" s="3">
        <v>0</v>
      </c>
      <c r="I4" s="3">
        <v>0.47261056500560639</v>
      </c>
      <c r="J4" s="3">
        <v>0.54067455262879505</v>
      </c>
      <c r="K4" s="3">
        <v>0.99854890200251523</v>
      </c>
      <c r="L4" s="3">
        <v>0</v>
      </c>
      <c r="M4" s="3">
        <v>0</v>
      </c>
      <c r="N4" s="3">
        <v>0</v>
      </c>
    </row>
    <row r="5" spans="1:14" x14ac:dyDescent="0.3">
      <c r="A5" s="6" t="s">
        <v>21</v>
      </c>
      <c r="B5" s="6"/>
      <c r="C5" s="3">
        <v>1.26597879048438</v>
      </c>
      <c r="D5" s="3">
        <v>0.84695494679646821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1.308515426021579</v>
      </c>
      <c r="M5" s="3">
        <v>0.47364147937048912</v>
      </c>
      <c r="N5" s="3">
        <v>0.27401166435505359</v>
      </c>
    </row>
    <row r="6" spans="1:14" x14ac:dyDescent="0.3">
      <c r="A6" s="6" t="s">
        <v>22</v>
      </c>
      <c r="B6" s="6"/>
      <c r="C6" s="3">
        <v>0.6879234191303456</v>
      </c>
      <c r="D6" s="3">
        <v>0.90364496568268138</v>
      </c>
      <c r="E6" s="3">
        <v>2.4305770172992118</v>
      </c>
      <c r="F6" s="3">
        <v>1.098839320426344</v>
      </c>
      <c r="G6" s="3">
        <v>1.189615918725333</v>
      </c>
      <c r="H6" s="3">
        <v>0</v>
      </c>
      <c r="I6" s="3">
        <v>1.1975246274311691</v>
      </c>
      <c r="J6" s="3">
        <v>0</v>
      </c>
      <c r="K6" s="3">
        <v>0</v>
      </c>
      <c r="L6" s="3">
        <v>0.44907836462505668</v>
      </c>
      <c r="M6" s="3">
        <v>0</v>
      </c>
      <c r="N6" s="3">
        <v>0</v>
      </c>
    </row>
    <row r="7" spans="1:14" x14ac:dyDescent="0.3">
      <c r="A7" s="6" t="s">
        <v>23</v>
      </c>
      <c r="B7" s="6"/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1.1111818218738581</v>
      </c>
    </row>
    <row r="8" spans="1:14" x14ac:dyDescent="0.3">
      <c r="A8" s="6" t="s">
        <v>24</v>
      </c>
      <c r="B8" s="6"/>
      <c r="C8" s="3">
        <v>0.44067831618953202</v>
      </c>
      <c r="D8" s="3">
        <v>0</v>
      </c>
      <c r="E8" s="3">
        <v>0.68452326538074781</v>
      </c>
      <c r="F8" s="3">
        <v>0.28936159126730843</v>
      </c>
      <c r="G8" s="3">
        <v>0.75694765970734224</v>
      </c>
      <c r="H8" s="3">
        <v>0</v>
      </c>
      <c r="I8" s="3">
        <v>9.6051892970747829E-2</v>
      </c>
      <c r="J8" s="3">
        <v>0.47993607954545447</v>
      </c>
      <c r="K8" s="3">
        <v>0.4543825532738065</v>
      </c>
      <c r="L8" s="3">
        <v>0.72974237466796654</v>
      </c>
      <c r="M8" s="3">
        <v>0</v>
      </c>
      <c r="N8" s="3">
        <v>0.60012382805589948</v>
      </c>
    </row>
    <row r="9" spans="1:14" x14ac:dyDescent="0.3">
      <c r="A9" s="6" t="s">
        <v>25</v>
      </c>
      <c r="B9" s="6"/>
      <c r="C9" s="3">
        <v>0.74339496918207559</v>
      </c>
      <c r="D9" s="3">
        <v>0</v>
      </c>
      <c r="E9" s="3">
        <v>0</v>
      </c>
      <c r="F9" s="3">
        <v>0.9661026054257319</v>
      </c>
      <c r="G9" s="3">
        <v>0</v>
      </c>
      <c r="H9" s="3">
        <v>0.38241935021821971</v>
      </c>
      <c r="I9" s="3">
        <v>0</v>
      </c>
      <c r="J9" s="3">
        <v>0.37252856263255107</v>
      </c>
      <c r="K9" s="3">
        <v>0.76547038038960913</v>
      </c>
      <c r="L9" s="3">
        <v>1.0472413089238131</v>
      </c>
      <c r="M9" s="3">
        <v>0.83623706213856863</v>
      </c>
      <c r="N9" s="3">
        <v>0.36113697114525561</v>
      </c>
    </row>
    <row r="10" spans="1:14" x14ac:dyDescent="0.3">
      <c r="A10" s="6" t="s">
        <v>26</v>
      </c>
      <c r="B10" s="6"/>
      <c r="C10" s="3">
        <v>0.42733223650525942</v>
      </c>
      <c r="D10" s="3">
        <v>0.23473447219186769</v>
      </c>
      <c r="E10" s="3">
        <v>0.93921947183341381</v>
      </c>
      <c r="F10" s="3">
        <v>1.0658346153749629</v>
      </c>
      <c r="G10" s="3">
        <v>0.2374064418467749</v>
      </c>
      <c r="H10" s="3">
        <v>0.76642249527410211</v>
      </c>
      <c r="I10" s="3">
        <v>0.61908809803630716</v>
      </c>
      <c r="J10" s="3">
        <v>0.54126257788353915</v>
      </c>
      <c r="K10" s="3">
        <v>0.29472005188897871</v>
      </c>
      <c r="L10" s="3">
        <v>0.84179829223777414</v>
      </c>
      <c r="M10" s="3">
        <v>0.17862628922536761</v>
      </c>
      <c r="N10" s="3">
        <v>0.79106148159716805</v>
      </c>
    </row>
    <row r="11" spans="1:14" x14ac:dyDescent="0.3">
      <c r="A11" s="6" t="s">
        <v>27</v>
      </c>
      <c r="B11" s="6"/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</row>
    <row r="15" spans="1:14" x14ac:dyDescent="0.3">
      <c r="A15" s="10" t="s">
        <v>29</v>
      </c>
      <c r="B15" s="6"/>
      <c r="C15" s="9" t="s"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8"/>
    </row>
    <row r="16" spans="1:14" x14ac:dyDescent="0.3">
      <c r="A16" s="4" t="s">
        <v>18</v>
      </c>
      <c r="B16" s="6"/>
      <c r="C16" s="1" t="s">
        <v>6</v>
      </c>
      <c r="D16" s="1" t="s">
        <v>7</v>
      </c>
      <c r="E16" s="1" t="s">
        <v>8</v>
      </c>
      <c r="F16" s="1" t="s">
        <v>9</v>
      </c>
      <c r="G16" s="1" t="s">
        <v>10</v>
      </c>
      <c r="H16" s="1" t="s">
        <v>11</v>
      </c>
      <c r="I16" s="1" t="s">
        <v>12</v>
      </c>
      <c r="J16" s="1" t="s">
        <v>13</v>
      </c>
      <c r="K16" s="1" t="s">
        <v>14</v>
      </c>
      <c r="L16" s="1" t="s">
        <v>15</v>
      </c>
      <c r="M16" s="1" t="s">
        <v>16</v>
      </c>
      <c r="N16" s="1" t="s">
        <v>17</v>
      </c>
    </row>
    <row r="17" spans="1:14" x14ac:dyDescent="0.3">
      <c r="A17" s="6" t="s">
        <v>19</v>
      </c>
      <c r="B17" s="6"/>
      <c r="C17" s="3">
        <v>1.284415724727515</v>
      </c>
      <c r="D17" s="3">
        <v>10.257066109660579</v>
      </c>
      <c r="E17" s="3">
        <v>1.6721146992707929</v>
      </c>
      <c r="F17" s="3">
        <v>0.74367465131123178</v>
      </c>
      <c r="G17" s="3">
        <v>1.61212591702994</v>
      </c>
      <c r="H17" s="3">
        <v>0.76428565235861734</v>
      </c>
      <c r="I17" s="3">
        <v>1.055989297943813</v>
      </c>
      <c r="J17" s="3">
        <v>0.92393442622950817</v>
      </c>
      <c r="K17" s="3">
        <v>0.27588676136989321</v>
      </c>
      <c r="L17" s="3">
        <v>1.6954349739515191</v>
      </c>
      <c r="M17" s="3">
        <v>2.645348177072516</v>
      </c>
      <c r="N17" s="3">
        <v>0</v>
      </c>
    </row>
    <row r="18" spans="1:14" x14ac:dyDescent="0.3">
      <c r="A18" s="6" t="s">
        <v>20</v>
      </c>
      <c r="B18" s="6"/>
      <c r="C18" s="3">
        <v>0.38525033857015623</v>
      </c>
      <c r="D18" s="3">
        <v>0</v>
      </c>
      <c r="E18" s="3">
        <v>1.086147798742138</v>
      </c>
      <c r="F18" s="3">
        <v>0.53316622801520663</v>
      </c>
      <c r="G18" s="3">
        <v>0</v>
      </c>
      <c r="H18" s="3">
        <v>0</v>
      </c>
      <c r="I18" s="3">
        <v>0.79182088521523819</v>
      </c>
      <c r="J18" s="3">
        <v>3.047984210185724</v>
      </c>
      <c r="K18" s="3">
        <v>0</v>
      </c>
      <c r="L18" s="3">
        <v>0</v>
      </c>
      <c r="M18" s="3">
        <v>0</v>
      </c>
      <c r="N18" s="3">
        <v>0</v>
      </c>
    </row>
    <row r="19" spans="1:14" x14ac:dyDescent="0.3">
      <c r="A19" s="6" t="s">
        <v>21</v>
      </c>
      <c r="B19" s="6"/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1.0251030977443609</v>
      </c>
      <c r="N19" s="3">
        <v>0.3587306290599569</v>
      </c>
    </row>
    <row r="20" spans="1:14" x14ac:dyDescent="0.3">
      <c r="A20" s="6" t="s">
        <v>22</v>
      </c>
      <c r="B20" s="6"/>
      <c r="C20" s="3">
        <v>3.21495915454669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0.74078634192797588</v>
      </c>
      <c r="M20" s="3">
        <v>0</v>
      </c>
      <c r="N20" s="3">
        <v>0</v>
      </c>
    </row>
    <row r="21" spans="1:14" x14ac:dyDescent="0.3">
      <c r="A21" s="6" t="s">
        <v>23</v>
      </c>
      <c r="B21" s="6"/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</row>
    <row r="22" spans="1:14" x14ac:dyDescent="0.3">
      <c r="A22" s="6" t="s">
        <v>24</v>
      </c>
      <c r="B22" s="6"/>
      <c r="C22" s="3">
        <v>0.88984503190519604</v>
      </c>
      <c r="D22" s="3">
        <v>0</v>
      </c>
      <c r="E22" s="3">
        <v>3.7549636803874091</v>
      </c>
      <c r="F22" s="3">
        <v>0.6044407109719544</v>
      </c>
      <c r="G22" s="3">
        <v>2.7179584407705142</v>
      </c>
      <c r="H22" s="3">
        <v>0.50578598361721494</v>
      </c>
      <c r="I22" s="3">
        <v>0.2060615924338596</v>
      </c>
      <c r="J22" s="3">
        <v>0.89728929291267323</v>
      </c>
      <c r="K22" s="3">
        <v>1.47099524262607</v>
      </c>
      <c r="L22" s="3">
        <v>4.2991328882393818</v>
      </c>
      <c r="M22" s="3">
        <v>0</v>
      </c>
      <c r="N22" s="3">
        <v>2.4090255502709881</v>
      </c>
    </row>
    <row r="23" spans="1:14" x14ac:dyDescent="0.3">
      <c r="A23" s="6" t="s">
        <v>25</v>
      </c>
      <c r="B23" s="6"/>
      <c r="C23" s="3">
        <v>2.8646037341689521</v>
      </c>
      <c r="D23" s="3">
        <v>1.150520833333333</v>
      </c>
      <c r="E23" s="3">
        <v>0</v>
      </c>
      <c r="F23" s="3">
        <v>0</v>
      </c>
      <c r="G23" s="3">
        <v>0</v>
      </c>
      <c r="H23" s="3">
        <v>0.89869849439355143</v>
      </c>
      <c r="I23" s="3">
        <v>1.553065162535253</v>
      </c>
      <c r="J23" s="3">
        <v>0.77407529904635908</v>
      </c>
      <c r="K23" s="3">
        <v>1.821372918887886</v>
      </c>
      <c r="L23" s="3">
        <v>5.9142967087551028</v>
      </c>
      <c r="M23" s="3">
        <v>2.9177708657335399</v>
      </c>
      <c r="N23" s="3">
        <v>0.96732676322936373</v>
      </c>
    </row>
    <row r="24" spans="1:14" x14ac:dyDescent="0.3">
      <c r="A24" s="6" t="s">
        <v>26</v>
      </c>
      <c r="B24" s="6"/>
      <c r="C24" s="3">
        <v>1.2073328731420161</v>
      </c>
      <c r="D24" s="3">
        <v>0.2225708773467765</v>
      </c>
      <c r="E24" s="3">
        <v>6.2892832127013776</v>
      </c>
      <c r="F24" s="3">
        <v>7.5634099809217794</v>
      </c>
      <c r="G24" s="3">
        <v>0.37419512195121951</v>
      </c>
      <c r="H24" s="3">
        <v>1.57857334406007</v>
      </c>
      <c r="I24" s="3">
        <v>1.161442894220255</v>
      </c>
      <c r="J24" s="3">
        <v>0.70673513788424736</v>
      </c>
      <c r="K24" s="3">
        <v>0</v>
      </c>
      <c r="L24" s="3">
        <v>2.45107586510664</v>
      </c>
      <c r="M24" s="3">
        <v>0.21834631348225531</v>
      </c>
      <c r="N24" s="3">
        <v>6.8690210536528573</v>
      </c>
    </row>
    <row r="25" spans="1:14" x14ac:dyDescent="0.3">
      <c r="A25" s="6" t="s">
        <v>27</v>
      </c>
      <c r="B25" s="6"/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</sheetData>
  <mergeCells count="24">
    <mergeCell ref="C15:N15"/>
    <mergeCell ref="C1:N1"/>
    <mergeCell ref="A15:B15"/>
    <mergeCell ref="A11:B11"/>
    <mergeCell ref="A1:B1"/>
    <mergeCell ref="A6:B6"/>
    <mergeCell ref="A16:B16"/>
    <mergeCell ref="A7:B7"/>
    <mergeCell ref="A25:B25"/>
    <mergeCell ref="A18:B18"/>
    <mergeCell ref="A3:B3"/>
    <mergeCell ref="A21:B21"/>
    <mergeCell ref="A2:B2"/>
    <mergeCell ref="A5:B5"/>
    <mergeCell ref="A17:B17"/>
    <mergeCell ref="A23:B23"/>
    <mergeCell ref="A8:B8"/>
    <mergeCell ref="A22:B22"/>
    <mergeCell ref="A4:B4"/>
    <mergeCell ref="A20:B20"/>
    <mergeCell ref="A19:B19"/>
    <mergeCell ref="A10:B10"/>
    <mergeCell ref="A9:B9"/>
    <mergeCell ref="A24:B24"/>
  </mergeCells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Выводы</vt:lpstr>
      <vt:lpstr>Весь отдел</vt:lpstr>
      <vt:lpstr>Менеджеры за год</vt:lpstr>
      <vt:lpstr>Менеджеры по месяцам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Valentin Trofimov</cp:lastModifiedBy>
  <dcterms:created xsi:type="dcterms:W3CDTF">2026-05-02T12:08:46Z</dcterms:created>
  <dcterms:modified xsi:type="dcterms:W3CDTF">2026-05-02T23:12:53Z</dcterms:modified>
</cp:coreProperties>
</file>